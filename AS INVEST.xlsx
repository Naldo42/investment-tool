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11c7f956a0c5e8/Desktop/"/>
    </mc:Choice>
  </mc:AlternateContent>
  <xr:revisionPtr revIDLastSave="83" documentId="8_{711F82D5-5F37-4381-9C6E-117E2EBFB1E4}" xr6:coauthVersionLast="47" xr6:coauthVersionMax="47" xr10:uidLastSave="{BDD8559B-DE0C-48D1-8527-303EAF5FAE09}"/>
  <bookViews>
    <workbookView xWindow="-120" yWindow="-120" windowWidth="29040" windowHeight="15840" tabRatio="565" xr2:uid="{BEC4F985-67FB-4DB3-9B62-DCF981B3D97B}"/>
  </bookViews>
  <sheets>
    <sheet name="Ferramenta" sheetId="4" r:id="rId1"/>
    <sheet name="Apoio" sheetId="5" state="hidden" r:id="rId2"/>
  </sheets>
  <definedNames>
    <definedName name="Aporte">Ferramenta!$D$18</definedName>
    <definedName name="Patrimonio">Ferramenta!$D$21</definedName>
    <definedName name="Qtd_anos">Ferramenta!$D$19</definedName>
    <definedName name="Rendimento_Carteira">Ferramenta!$D$13</definedName>
    <definedName name="Salario">Ferramenta!$D$12</definedName>
    <definedName name="Sugestao_investimento">Ferramenta!$D$14</definedName>
    <definedName name="Taxa_mensal">Ferramenta!$D$20</definedName>
    <definedName name="total_investido_bolso">Ferramenta!$D$33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9" i="4" l="1"/>
  <c r="C43" i="4"/>
  <c r="C44" i="4"/>
  <c r="C45" i="4"/>
  <c r="C46" i="4"/>
  <c r="C47" i="4"/>
  <c r="C42" i="4"/>
  <c r="D33" i="4"/>
  <c r="H4" i="5"/>
  <c r="A15" i="5"/>
  <c r="A16" i="5"/>
  <c r="A17" i="5"/>
  <c r="A18" i="5"/>
  <c r="A19" i="5"/>
  <c r="A20" i="5"/>
  <c r="A9" i="5"/>
  <c r="A10" i="5"/>
  <c r="A11" i="5"/>
  <c r="A12" i="5"/>
  <c r="A13" i="5"/>
  <c r="A14" i="5"/>
  <c r="A4" i="5"/>
  <c r="A5" i="5"/>
  <c r="A6" i="5"/>
  <c r="A7" i="5"/>
  <c r="A8" i="5"/>
  <c r="A3" i="5"/>
  <c r="D44" i="4" l="1"/>
  <c r="D46" i="4"/>
  <c r="D47" i="4"/>
  <c r="D43" i="4"/>
  <c r="D45" i="4"/>
  <c r="D42" i="4"/>
  <c r="D14" i="4"/>
  <c r="C27" i="4"/>
  <c r="D27" i="4" s="1"/>
  <c r="C28" i="4"/>
  <c r="D28" i="4" s="1"/>
  <c r="C29" i="4"/>
  <c r="D29" i="4" s="1"/>
  <c r="C30" i="4"/>
  <c r="C26" i="4"/>
  <c r="D26" i="4" s="1"/>
  <c r="D21" i="4"/>
  <c r="D22" i="4" s="1"/>
  <c r="D30" i="4" l="1"/>
  <c r="D35" i="4"/>
  <c r="D34" i="4"/>
  <c r="D48" i="4"/>
</calcChain>
</file>

<file path=xl/sharedStrings.xml><?xml version="1.0" encoding="utf-8"?>
<sst xmlns="http://schemas.openxmlformats.org/spreadsheetml/2006/main" count="75" uniqueCount="38">
  <si>
    <t>Quanto investir por mês?</t>
  </si>
  <si>
    <t>INVESTIMENTO MENSAL</t>
  </si>
  <si>
    <t>Por quantos anos?</t>
  </si>
  <si>
    <t>Taxa de rendimento mensal?</t>
  </si>
  <si>
    <t>Patrimônio acumulado?</t>
  </si>
  <si>
    <t>Dividendos mensais?</t>
  </si>
  <si>
    <t>Quanto em 2 anos</t>
  </si>
  <si>
    <t>Quanto em 5 anos</t>
  </si>
  <si>
    <t>Quanto em 10 anos</t>
  </si>
  <si>
    <t>Quanto em 20 anos</t>
  </si>
  <si>
    <t>Quanto em 30 anos</t>
  </si>
  <si>
    <t>CENÁRIOS</t>
  </si>
  <si>
    <t>Dividendo</t>
  </si>
  <si>
    <t>Salário</t>
  </si>
  <si>
    <t>Rendimento Carteira</t>
  </si>
  <si>
    <t>CONFIGURAÇÕES</t>
  </si>
  <si>
    <t>AGRESSIVO</t>
  </si>
  <si>
    <t>CONSERVADOR</t>
  </si>
  <si>
    <t>MODERADO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</si>
  <si>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</si>
  <si>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</si>
  <si>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</si>
  <si>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</si>
  <si>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</si>
  <si>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</si>
  <si>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</si>
  <si>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</si>
  <si>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</si>
  <si>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</si>
  <si>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</si>
  <si>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</si>
  <si>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</si>
  <si>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</si>
  <si>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</si>
  <si>
    <t>RESUMO DE RENDIMENTOS (30 ANOS)</t>
  </si>
  <si>
    <t>TOTAL INVESTIDO DO BOLSO</t>
  </si>
  <si>
    <t>JUROS/DIVIDENDOS ACUMULADOS</t>
  </si>
  <si>
    <t>PATRIMÔNIO TOTAL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</si>
</sst>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8"/>
      <color theme="0"/>
      <name val="Segoe UI"/>
      <family val="2"/>
    </font>
    <font>
      <b/>
      <sz val="20"/>
      <color rgb="FFD4AF37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rgb="FF9C5700"/>
      <name val="Segoe UI"/>
      <family val="2"/>
    </font>
    <font>
      <b/>
      <sz val="11"/>
      <color theme="1"/>
      <name val="Aptos Narrow"/>
      <family val="2"/>
      <scheme val="minor"/>
    </font>
    <font>
      <b/>
      <sz val="14"/>
      <color rgb="FFD4AF37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4D40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/>
      </bottom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 style="medium">
        <color indexed="64"/>
      </right>
      <top/>
      <bottom style="medium">
        <color rgb="FFD9D9D9"/>
      </bottom>
      <diagonal/>
    </border>
    <border>
      <left style="medium">
        <color indexed="64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indexed="64"/>
      </right>
      <top style="medium">
        <color rgb="FFD9D9D9"/>
      </top>
      <bottom style="medium">
        <color rgb="FFD9D9D9"/>
      </bottom>
      <diagonal/>
    </border>
    <border>
      <left style="medium">
        <color indexed="64"/>
      </left>
      <right style="medium">
        <color rgb="FFD9D9D9"/>
      </right>
      <top style="medium">
        <color rgb="FFD9D9D9"/>
      </top>
      <bottom style="medium">
        <color indexed="64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indexed="64"/>
      </bottom>
      <diagonal/>
    </border>
    <border>
      <left style="medium">
        <color rgb="FFD9D9D9"/>
      </left>
      <right style="medium">
        <color indexed="64"/>
      </right>
      <top style="medium">
        <color rgb="FFD9D9D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4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/>
    <xf numFmtId="0" fontId="0" fillId="0" borderId="4" xfId="0" applyBorder="1"/>
    <xf numFmtId="0" fontId="0" fillId="0" borderId="0" xfId="0" applyBorder="1"/>
    <xf numFmtId="0" fontId="0" fillId="0" borderId="0" xfId="0" applyAlignment="1">
      <alignment horizontal="center"/>
    </xf>
    <xf numFmtId="8" fontId="8" fillId="0" borderId="15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0" fontId="8" fillId="0" borderId="18" xfId="0" applyNumberFormat="1" applyFont="1" applyBorder="1" applyAlignment="1">
      <alignment horizontal="center" vertical="center"/>
    </xf>
    <xf numFmtId="8" fontId="7" fillId="0" borderId="15" xfId="0" applyNumberFormat="1" applyFont="1" applyBorder="1" applyAlignment="1">
      <alignment horizontal="center"/>
    </xf>
    <xf numFmtId="9" fontId="7" fillId="0" borderId="18" xfId="0" applyNumberFormat="1" applyFont="1" applyBorder="1" applyAlignment="1">
      <alignment horizontal="center"/>
    </xf>
    <xf numFmtId="8" fontId="8" fillId="5" borderId="18" xfId="0" applyNumberFormat="1" applyFont="1" applyFill="1" applyBorder="1" applyAlignment="1">
      <alignment horizontal="center" vertical="center"/>
    </xf>
    <xf numFmtId="8" fontId="8" fillId="5" borderId="21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indent="3"/>
    </xf>
    <xf numFmtId="8" fontId="7" fillId="5" borderId="6" xfId="0" applyNumberFormat="1" applyFont="1" applyFill="1" applyBorder="1" applyAlignment="1">
      <alignment horizontal="center" vertical="center"/>
    </xf>
    <xf numFmtId="8" fontId="7" fillId="5" borderId="7" xfId="0" applyNumberFormat="1" applyFont="1" applyFill="1" applyBorder="1" applyAlignment="1">
      <alignment horizontal="center"/>
    </xf>
    <xf numFmtId="0" fontId="6" fillId="5" borderId="8" xfId="0" applyFont="1" applyFill="1" applyBorder="1" applyAlignment="1">
      <alignment horizontal="left" indent="3"/>
    </xf>
    <xf numFmtId="8" fontId="7" fillId="5" borderId="9" xfId="0" applyNumberFormat="1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left" indent="3"/>
    </xf>
    <xf numFmtId="8" fontId="7" fillId="5" borderId="11" xfId="0" applyNumberFormat="1" applyFont="1" applyFill="1" applyBorder="1" applyAlignment="1">
      <alignment horizontal="center" vertical="center"/>
    </xf>
    <xf numFmtId="8" fontId="7" fillId="5" borderId="12" xfId="0" applyNumberFormat="1" applyFont="1" applyFill="1" applyBorder="1" applyAlignment="1">
      <alignment horizontal="center"/>
    </xf>
    <xf numFmtId="8" fontId="7" fillId="5" borderId="21" xfId="0" applyNumberFormat="1" applyFont="1" applyFill="1" applyBorder="1" applyAlignment="1">
      <alignment horizontal="center"/>
    </xf>
    <xf numFmtId="0" fontId="3" fillId="4" borderId="0" xfId="2"/>
    <xf numFmtId="9" fontId="0" fillId="0" borderId="0" xfId="0" applyNumberFormat="1" applyAlignment="1">
      <alignment horizontal="center"/>
    </xf>
    <xf numFmtId="0" fontId="0" fillId="6" borderId="0" xfId="0" applyFill="1"/>
    <xf numFmtId="0" fontId="7" fillId="0" borderId="0" xfId="0" applyFont="1" applyAlignment="1">
      <alignment horizontal="center"/>
    </xf>
    <xf numFmtId="0" fontId="8" fillId="6" borderId="0" xfId="0" applyFont="1" applyFill="1" applyAlignment="1">
      <alignment horizontal="center"/>
    </xf>
    <xf numFmtId="8" fontId="0" fillId="5" borderId="0" xfId="0" applyNumberFormat="1" applyFill="1" applyAlignment="1">
      <alignment horizontal="center"/>
    </xf>
    <xf numFmtId="0" fontId="0" fillId="0" borderId="22" xfId="0" applyBorder="1"/>
    <xf numFmtId="0" fontId="7" fillId="0" borderId="22" xfId="0" applyFont="1" applyBorder="1" applyAlignment="1">
      <alignment horizontal="center"/>
    </xf>
    <xf numFmtId="9" fontId="0" fillId="0" borderId="0" xfId="1" applyFont="1" applyAlignment="1">
      <alignment horizontal="center"/>
    </xf>
    <xf numFmtId="9" fontId="0" fillId="0" borderId="22" xfId="1" applyFont="1" applyBorder="1" applyAlignment="1">
      <alignment horizontal="center"/>
    </xf>
    <xf numFmtId="9" fontId="3" fillId="4" borderId="0" xfId="1" applyFont="1" applyFill="1"/>
    <xf numFmtId="9" fontId="0" fillId="0" borderId="0" xfId="1" applyFont="1"/>
    <xf numFmtId="0" fontId="0" fillId="0" borderId="3" xfId="0" applyBorder="1"/>
    <xf numFmtId="8" fontId="6" fillId="5" borderId="0" xfId="0" applyNumberFormat="1" applyFont="1" applyFill="1" applyBorder="1" applyAlignment="1">
      <alignment horizontal="center"/>
    </xf>
    <xf numFmtId="0" fontId="6" fillId="5" borderId="0" xfId="0" applyFont="1" applyFill="1" applyBorder="1" applyAlignment="1">
      <alignment horizontal="left" indent="3"/>
    </xf>
    <xf numFmtId="0" fontId="9" fillId="5" borderId="0" xfId="0" applyFont="1" applyFill="1" applyBorder="1" applyAlignment="1">
      <alignment horizontal="left" indent="3"/>
    </xf>
    <xf numFmtId="8" fontId="11" fillId="6" borderId="0" xfId="0" applyNumberFormat="1" applyFont="1" applyFill="1" applyAlignment="1">
      <alignment horizontal="center"/>
    </xf>
    <xf numFmtId="0" fontId="10" fillId="4" borderId="0" xfId="2" applyFont="1" applyBorder="1" applyAlignment="1">
      <alignment horizontal="center"/>
    </xf>
    <xf numFmtId="8" fontId="0" fillId="5" borderId="25" xfId="0" applyNumberFormat="1" applyFill="1" applyBorder="1"/>
    <xf numFmtId="8" fontId="0" fillId="5" borderId="26" xfId="0" applyNumberFormat="1" applyFill="1" applyBorder="1"/>
    <xf numFmtId="8" fontId="0" fillId="5" borderId="27" xfId="0" applyNumberFormat="1" applyFill="1" applyBorder="1"/>
    <xf numFmtId="0" fontId="12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left" indent="3"/>
    </xf>
    <xf numFmtId="0" fontId="6" fillId="5" borderId="14" xfId="0" applyFont="1" applyFill="1" applyBorder="1" applyAlignment="1">
      <alignment horizontal="left" indent="3"/>
    </xf>
    <xf numFmtId="0" fontId="6" fillId="5" borderId="16" xfId="0" applyFont="1" applyFill="1" applyBorder="1" applyAlignment="1">
      <alignment horizontal="left" indent="3"/>
    </xf>
    <xf numFmtId="0" fontId="6" fillId="5" borderId="17" xfId="0" applyFont="1" applyFill="1" applyBorder="1" applyAlignment="1">
      <alignment horizontal="left" indent="3"/>
    </xf>
    <xf numFmtId="0" fontId="6" fillId="5" borderId="19" xfId="0" applyFont="1" applyFill="1" applyBorder="1" applyAlignment="1">
      <alignment horizontal="left" indent="3"/>
    </xf>
    <xf numFmtId="0" fontId="6" fillId="5" borderId="20" xfId="0" applyFont="1" applyFill="1" applyBorder="1" applyAlignment="1">
      <alignment horizontal="left" indent="3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left" indent="3"/>
    </xf>
    <xf numFmtId="0" fontId="9" fillId="5" borderId="17" xfId="0" applyFont="1" applyFill="1" applyBorder="1" applyAlignment="1">
      <alignment horizontal="left" indent="3"/>
    </xf>
    <xf numFmtId="0" fontId="9" fillId="5" borderId="19" xfId="0" applyFont="1" applyFill="1" applyBorder="1" applyAlignment="1">
      <alignment horizontal="left" indent="3"/>
    </xf>
    <xf numFmtId="0" fontId="9" fillId="5" borderId="20" xfId="0" applyFont="1" applyFill="1" applyBorder="1" applyAlignment="1">
      <alignment horizontal="left" indent="3"/>
    </xf>
    <xf numFmtId="0" fontId="6" fillId="5" borderId="23" xfId="0" applyFont="1" applyFill="1" applyBorder="1" applyAlignment="1">
      <alignment horizontal="left" indent="3"/>
    </xf>
    <xf numFmtId="0" fontId="6" fillId="5" borderId="24" xfId="0" applyFont="1" applyFill="1" applyBorder="1" applyAlignment="1">
      <alignment horizontal="left" indent="3"/>
    </xf>
    <xf numFmtId="0" fontId="6" fillId="5" borderId="8" xfId="0" applyFont="1" applyFill="1" applyBorder="1" applyAlignment="1">
      <alignment horizontal="left" indent="3"/>
    </xf>
    <xf numFmtId="0" fontId="6" fillId="5" borderId="9" xfId="0" applyFont="1" applyFill="1" applyBorder="1" applyAlignment="1">
      <alignment horizontal="left" indent="3"/>
    </xf>
    <xf numFmtId="0" fontId="6" fillId="5" borderId="10" xfId="0" applyFont="1" applyFill="1" applyBorder="1" applyAlignment="1">
      <alignment horizontal="left" indent="3"/>
    </xf>
    <xf numFmtId="0" fontId="6" fillId="5" borderId="11" xfId="0" applyFont="1" applyFill="1" applyBorder="1" applyAlignment="1">
      <alignment horizontal="left" indent="3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D9D9D9"/>
      <color rgb="FF004D40"/>
      <color rgb="FFD4AF37"/>
      <color rgb="FF0A3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Distribuição da Carteira (FIIs)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E2-46AB-A945-CECDB8443F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E2-46AB-A945-CECDB8443F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E2-46AB-A945-CECDB8443F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E2-46AB-A945-CECDB8443F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E2-46AB-A945-CECDB8443F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E2-46AB-A945-CECDB8443F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Ferramenta!$B$42:$B$47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Ferramenta!$C$42:$C$47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1-4432-9D0F-C6C7BE6434CC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5E2-46AB-A945-CECDB8443F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5E2-46AB-A945-CECDB8443F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5E2-46AB-A945-CECDB8443F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5E2-46AB-A945-CECDB8443F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5E2-46AB-A945-CECDB8443F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5E2-46AB-A945-CECDB8443FC3}"/>
              </c:ext>
            </c:extLst>
          </c:dPt>
          <c:cat>
            <c:strRef>
              <c:f>Ferramenta!$B$42:$B$47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Ferramenta!$D$42:$D$47</c:f>
              <c:numCache>
                <c:formatCode>"R$"#,##0.00_);[Red]\("R$"#,##0.00\)</c:formatCode>
                <c:ptCount val="6"/>
                <c:pt idx="0">
                  <c:v>750</c:v>
                </c:pt>
                <c:pt idx="1">
                  <c:v>150</c:v>
                </c:pt>
                <c:pt idx="2">
                  <c:v>75</c:v>
                </c:pt>
                <c:pt idx="3">
                  <c:v>75</c:v>
                </c:pt>
                <c:pt idx="4">
                  <c:v>300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81-4432-9D0F-C6C7BE643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do Patrimônio 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Ferramenta!$B$26:$B$30</c:f>
              <c:strCache>
                <c:ptCount val="5"/>
                <c:pt idx="0">
                  <c:v>Quanto em 2 anos</c:v>
                </c:pt>
                <c:pt idx="1">
                  <c:v>Quanto em 5 anos</c:v>
                </c:pt>
                <c:pt idx="2">
                  <c:v>Quanto em 10 anos</c:v>
                </c:pt>
                <c:pt idx="3">
                  <c:v>Quanto em 20 anos</c:v>
                </c:pt>
                <c:pt idx="4">
                  <c:v>Quanto em 30 anos</c:v>
                </c:pt>
              </c:strCache>
            </c:strRef>
          </c:cat>
          <c:val>
            <c:numRef>
              <c:f>Ferramenta!$C$26:$C$30</c:f>
              <c:numCache>
                <c:formatCode>"R$"#,##0.00_);[Red]\("R$"#,##0.00\)</c:formatCode>
                <c:ptCount val="5"/>
                <c:pt idx="0">
                  <c:v>40841.440946467825</c:v>
                </c:pt>
                <c:pt idx="1">
                  <c:v>125665.37099773147</c:v>
                </c:pt>
                <c:pt idx="2">
                  <c:v>364926.3187952583</c:v>
                </c:pt>
                <c:pt idx="3">
                  <c:v>1687797.600145621</c:v>
                </c:pt>
                <c:pt idx="4">
                  <c:v>6483254.4825070715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A7-4232-904A-AD29DAFC4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11232"/>
        <c:axId val="64705472"/>
      </c:lineChart>
      <c:catAx>
        <c:axId val="6471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705472"/>
        <c:crosses val="autoZero"/>
        <c:auto val="1"/>
        <c:lblAlgn val="ctr"/>
        <c:lblOffset val="100"/>
        <c:noMultiLvlLbl val="0"/>
      </c:catAx>
      <c:valAx>
        <c:axId val="647054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crossAx val="6471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43961</xdr:colOff>
      <xdr:row>0</xdr:row>
      <xdr:rowOff>66260</xdr:rowOff>
    </xdr:from>
    <xdr:to>
      <xdr:col>4</xdr:col>
      <xdr:colOff>180974</xdr:colOff>
      <xdr:row>9</xdr:row>
      <xdr:rowOff>171450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EB2CACF-B53B-2925-388D-6C175968D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" y="66260"/>
          <a:ext cx="7814163" cy="1819690"/>
        </a:xfrm>
        <a:prstGeom prst="rect">
          <a:avLst/>
        </a:prstGeom>
      </xdr:spPr>
    </xdr:pic>
    <xdr:clientData/>
  </xdr:twoCellAnchor>
  <xdr:twoCellAnchor>
    <xdr:from>
      <xdr:col>1</xdr:col>
      <xdr:colOff>19849</xdr:colOff>
      <xdr:row>49</xdr:row>
      <xdr:rowOff>45511</xdr:rowOff>
    </xdr:from>
    <xdr:to>
      <xdr:col>2</xdr:col>
      <xdr:colOff>903232</xdr:colOff>
      <xdr:row>63</xdr:row>
      <xdr:rowOff>121711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A626417-962F-24A0-3E4C-5AA38B3B6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981489</xdr:colOff>
      <xdr:row>49</xdr:row>
      <xdr:rowOff>45511</xdr:rowOff>
    </xdr:from>
    <xdr:to>
      <xdr:col>5</xdr:col>
      <xdr:colOff>550793</xdr:colOff>
      <xdr:row>63</xdr:row>
      <xdr:rowOff>121711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056EBC-4536-C343-DDAB-A719E0A56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320F-7B0C-4BBD-906D-B0AFD3DF9E8B}">
  <dimension ref="A10:I78"/>
  <sheetViews>
    <sheetView showGridLines="0" showRowColHeaders="0" tabSelected="1" zoomScale="70" zoomScaleNormal="70" workbookViewId="0">
      <selection activeCell="E14" sqref="E14"/>
    </sheetView>
  </sheetViews>
  <sheetFormatPr defaultColWidth="0" defaultRowHeight="15" x14ac:dyDescent="0.25"/>
  <cols>
    <col min="1" max="1" width="4" customWidth="1"/>
    <col min="2" max="2" width="55.28515625" customWidth="1"/>
    <col min="3" max="3" width="36.42578125" customWidth="1"/>
    <col min="4" max="4" width="19.42578125" bestFit="1" customWidth="1"/>
    <col min="5" max="5" width="23.7109375" bestFit="1" customWidth="1"/>
    <col min="6" max="6" width="14.140625" customWidth="1"/>
    <col min="7" max="7" width="3" customWidth="1"/>
    <col min="8" max="8" width="3.42578125" customWidth="1"/>
    <col min="9" max="9" width="3.140625" hidden="1" customWidth="1"/>
    <col min="10" max="11" width="9.140625" hidden="1" customWidth="1"/>
    <col min="12" max="16384" width="9.140625" hidden="1"/>
  </cols>
  <sheetData>
    <row r="10" spans="2:4" ht="21.75" customHeight="1" thickBot="1" x14ac:dyDescent="0.3"/>
    <row r="11" spans="2:4" ht="26.25" x14ac:dyDescent="0.25">
      <c r="B11" s="52" t="s">
        <v>15</v>
      </c>
      <c r="C11" s="53"/>
      <c r="D11" s="54"/>
    </row>
    <row r="12" spans="2:4" ht="18" thickBot="1" x14ac:dyDescent="0.35">
      <c r="B12" s="46" t="s">
        <v>13</v>
      </c>
      <c r="C12" s="47"/>
      <c r="D12" s="8">
        <v>5000</v>
      </c>
    </row>
    <row r="13" spans="2:4" ht="18" thickBot="1" x14ac:dyDescent="0.35">
      <c r="B13" s="48" t="s">
        <v>14</v>
      </c>
      <c r="C13" s="49"/>
      <c r="D13" s="9">
        <v>6.0000000000000001E-3</v>
      </c>
    </row>
    <row r="14" spans="2:4" ht="18" thickBot="1" x14ac:dyDescent="0.35">
      <c r="B14" s="50" t="s">
        <v>33</v>
      </c>
      <c r="C14" s="51"/>
      <c r="D14" s="20">
        <f>D12*30%</f>
        <v>1500</v>
      </c>
    </row>
    <row r="16" spans="2:4" ht="15.75" thickBot="1" x14ac:dyDescent="0.3"/>
    <row r="17" spans="1:5" ht="29.25" customHeight="1" x14ac:dyDescent="0.25">
      <c r="B17" s="43" t="s">
        <v>1</v>
      </c>
      <c r="C17" s="44"/>
      <c r="D17" s="45"/>
    </row>
    <row r="18" spans="1:5" ht="15" customHeight="1" thickBot="1" x14ac:dyDescent="0.35">
      <c r="B18" s="46" t="s">
        <v>0</v>
      </c>
      <c r="C18" s="47"/>
      <c r="D18" s="5">
        <v>1500</v>
      </c>
    </row>
    <row r="19" spans="1:5" ht="15" customHeight="1" thickBot="1" x14ac:dyDescent="0.35">
      <c r="B19" s="48" t="s">
        <v>2</v>
      </c>
      <c r="C19" s="49"/>
      <c r="D19" s="6">
        <v>5</v>
      </c>
    </row>
    <row r="20" spans="1:5" ht="15" customHeight="1" thickBot="1" x14ac:dyDescent="0.35">
      <c r="B20" s="48" t="s">
        <v>3</v>
      </c>
      <c r="C20" s="49"/>
      <c r="D20" s="7">
        <v>1.0789999999999999E-2</v>
      </c>
    </row>
    <row r="21" spans="1:5" ht="15" customHeight="1" thickBot="1" x14ac:dyDescent="0.35">
      <c r="B21" s="55" t="s">
        <v>4</v>
      </c>
      <c r="C21" s="56"/>
      <c r="D21" s="10">
        <f>FV(Taxa_mensal,Qtd_anos*12,Aporte*-1)</f>
        <v>125665.37099773147</v>
      </c>
    </row>
    <row r="22" spans="1:5" ht="15.75" customHeight="1" thickBot="1" x14ac:dyDescent="0.35">
      <c r="B22" s="57" t="s">
        <v>5</v>
      </c>
      <c r="C22" s="58"/>
      <c r="D22" s="11">
        <f>Patrimonio*Rendimento_Carteira</f>
        <v>753.9922259863888</v>
      </c>
    </row>
    <row r="24" spans="1:5" ht="15.75" thickBot="1" x14ac:dyDescent="0.3"/>
    <row r="25" spans="1:5" ht="23.25" customHeight="1" x14ac:dyDescent="0.25">
      <c r="B25" s="43" t="s">
        <v>11</v>
      </c>
      <c r="C25" s="44"/>
      <c r="D25" s="42" t="s">
        <v>12</v>
      </c>
    </row>
    <row r="26" spans="1:5" ht="18" thickBot="1" x14ac:dyDescent="0.35">
      <c r="A26" s="1">
        <v>2</v>
      </c>
      <c r="B26" s="12" t="s">
        <v>6</v>
      </c>
      <c r="C26" s="13">
        <f>FV(Taxa_mensal,$A26*12,Aporte*-1)</f>
        <v>40841.440946467825</v>
      </c>
      <c r="D26" s="14">
        <f>$C26*Rendimento_Carteira</f>
        <v>245.04864567880696</v>
      </c>
    </row>
    <row r="27" spans="1:5" ht="18" thickBot="1" x14ac:dyDescent="0.35">
      <c r="A27" s="1">
        <v>5</v>
      </c>
      <c r="B27" s="15" t="s">
        <v>7</v>
      </c>
      <c r="C27" s="16">
        <f>FV(Taxa_mensal,$A27*12,Aporte*-1)</f>
        <v>125665.37099773147</v>
      </c>
      <c r="D27" s="14">
        <f>$C27*Rendimento_Carteira</f>
        <v>753.9922259863888</v>
      </c>
      <c r="E27" s="2"/>
    </row>
    <row r="28" spans="1:5" ht="18" thickBot="1" x14ac:dyDescent="0.35">
      <c r="A28" s="1">
        <v>10</v>
      </c>
      <c r="B28" s="15" t="s">
        <v>8</v>
      </c>
      <c r="C28" s="16">
        <f>FV(Taxa_mensal,$A28*12,Aporte*-1)</f>
        <v>364926.3187952583</v>
      </c>
      <c r="D28" s="14">
        <f>$C28*Rendimento_Carteira</f>
        <v>2189.55791277155</v>
      </c>
    </row>
    <row r="29" spans="1:5" ht="18" thickBot="1" x14ac:dyDescent="0.35">
      <c r="A29" s="1">
        <v>20</v>
      </c>
      <c r="B29" s="15" t="s">
        <v>9</v>
      </c>
      <c r="C29" s="16">
        <f>FV(Taxa_mensal,$A29*12,Aporte*-1)</f>
        <v>1687797.600145621</v>
      </c>
      <c r="D29" s="14">
        <f>$C29*Rendimento_Carteira</f>
        <v>10126.785600873725</v>
      </c>
    </row>
    <row r="30" spans="1:5" ht="18" thickBot="1" x14ac:dyDescent="0.35">
      <c r="A30" s="1">
        <v>30</v>
      </c>
      <c r="B30" s="17" t="s">
        <v>10</v>
      </c>
      <c r="C30" s="18">
        <f>FV(Taxa_mensal,$A30*12,Aporte*-1)</f>
        <v>6483254.4825070715</v>
      </c>
      <c r="D30" s="19">
        <f>$C30*Rendimento_Carteira</f>
        <v>38899.526895042429</v>
      </c>
    </row>
    <row r="31" spans="1:5" ht="15.75" thickBot="1" x14ac:dyDescent="0.3"/>
    <row r="32" spans="1:5" ht="31.5" thickBot="1" x14ac:dyDescent="0.3">
      <c r="B32" s="43" t="s">
        <v>34</v>
      </c>
      <c r="C32" s="44"/>
      <c r="D32" s="45"/>
    </row>
    <row r="33" spans="2:4" ht="18" thickBot="1" x14ac:dyDescent="0.35">
      <c r="B33" s="59" t="s">
        <v>35</v>
      </c>
      <c r="C33" s="60"/>
      <c r="D33" s="39">
        <f>Aporte*30*12</f>
        <v>540000</v>
      </c>
    </row>
    <row r="34" spans="2:4" ht="18" thickBot="1" x14ac:dyDescent="0.35">
      <c r="B34" s="61" t="s">
        <v>36</v>
      </c>
      <c r="C34" s="62"/>
      <c r="D34" s="40">
        <f>C30-D33</f>
        <v>5943254.4825070715</v>
      </c>
    </row>
    <row r="35" spans="2:4" ht="18" thickBot="1" x14ac:dyDescent="0.35">
      <c r="B35" s="63" t="s">
        <v>37</v>
      </c>
      <c r="C35" s="64"/>
      <c r="D35" s="41">
        <f>C30</f>
        <v>6483254.4825070715</v>
      </c>
    </row>
    <row r="38" spans="2:4" ht="16.5" x14ac:dyDescent="0.3">
      <c r="B38" s="38" t="s">
        <v>20</v>
      </c>
      <c r="C38" s="38" t="s">
        <v>16</v>
      </c>
      <c r="D38" s="21"/>
    </row>
    <row r="39" spans="2:4" ht="17.25" x14ac:dyDescent="0.3">
      <c r="B39" s="36" t="s">
        <v>19</v>
      </c>
      <c r="C39" s="34">
        <f>Aporte</f>
        <v>1500</v>
      </c>
      <c r="D39" s="35"/>
    </row>
    <row r="41" spans="2:4" ht="16.5" x14ac:dyDescent="0.3">
      <c r="B41" s="25" t="s">
        <v>21</v>
      </c>
      <c r="C41" s="25" t="s">
        <v>22</v>
      </c>
      <c r="D41" s="25" t="s">
        <v>23</v>
      </c>
    </row>
    <row r="42" spans="2:4" ht="16.5" x14ac:dyDescent="0.3">
      <c r="B42" s="24" t="s">
        <v>24</v>
      </c>
      <c r="C42" s="22">
        <f>VLOOKUP($C$38&amp;"-"&amp;B42,Apoio!A:D,4,0)</f>
        <v>0.5</v>
      </c>
      <c r="D42" s="26">
        <f>C42*$C$39</f>
        <v>750</v>
      </c>
    </row>
    <row r="43" spans="2:4" ht="16.5" x14ac:dyDescent="0.3">
      <c r="B43" s="24" t="s">
        <v>25</v>
      </c>
      <c r="C43" s="22">
        <f>VLOOKUP($C$38&amp;"-"&amp;B43,Apoio!A:D,4,0)</f>
        <v>0.1</v>
      </c>
      <c r="D43" s="26">
        <f t="shared" ref="D43:D47" si="0">C43*$C$39</f>
        <v>150</v>
      </c>
    </row>
    <row r="44" spans="2:4" ht="16.5" x14ac:dyDescent="0.3">
      <c r="B44" s="24" t="s">
        <v>26</v>
      </c>
      <c r="C44" s="22">
        <f>VLOOKUP($C$38&amp;"-"&amp;B44,Apoio!A:D,4,0)</f>
        <v>0.05</v>
      </c>
      <c r="D44" s="26">
        <f t="shared" si="0"/>
        <v>75</v>
      </c>
    </row>
    <row r="45" spans="2:4" ht="16.5" x14ac:dyDescent="0.3">
      <c r="B45" s="24" t="s">
        <v>27</v>
      </c>
      <c r="C45" s="22">
        <f>VLOOKUP($C$38&amp;"-"&amp;B45,Apoio!A:D,4,0)</f>
        <v>0.05</v>
      </c>
      <c r="D45" s="26">
        <f t="shared" si="0"/>
        <v>75</v>
      </c>
    </row>
    <row r="46" spans="2:4" ht="16.5" x14ac:dyDescent="0.3">
      <c r="B46" s="24" t="s">
        <v>28</v>
      </c>
      <c r="C46" s="22">
        <f>VLOOKUP($C$38&amp;"-"&amp;B46,Apoio!A:D,4,0)</f>
        <v>0.2</v>
      </c>
      <c r="D46" s="26">
        <f t="shared" si="0"/>
        <v>300</v>
      </c>
    </row>
    <row r="47" spans="2:4" ht="16.5" x14ac:dyDescent="0.3">
      <c r="B47" s="24" t="s">
        <v>29</v>
      </c>
      <c r="C47" s="22">
        <f>VLOOKUP($C$38&amp;"-"&amp;B47,Apoio!A:D,4,0)</f>
        <v>0.1</v>
      </c>
      <c r="D47" s="26">
        <f t="shared" si="0"/>
        <v>150</v>
      </c>
    </row>
    <row r="48" spans="2:4" x14ac:dyDescent="0.25">
      <c r="B48" s="23"/>
      <c r="C48" s="23"/>
      <c r="D48" s="37">
        <f>SUM(D42:D47)</f>
        <v>1500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mergeCells count="15">
    <mergeCell ref="B32:D32"/>
    <mergeCell ref="B33:C33"/>
    <mergeCell ref="B34:C34"/>
    <mergeCell ref="B35:C35"/>
    <mergeCell ref="B25:C25"/>
    <mergeCell ref="B18:C18"/>
    <mergeCell ref="B19:C19"/>
    <mergeCell ref="B20:C20"/>
    <mergeCell ref="B21:C21"/>
    <mergeCell ref="B22:C22"/>
    <mergeCell ref="B17:D17"/>
    <mergeCell ref="B12:C12"/>
    <mergeCell ref="B13:C13"/>
    <mergeCell ref="B14:C14"/>
    <mergeCell ref="B11:D11"/>
  </mergeCells>
  <dataValidations count="1">
    <dataValidation type="list" allowBlank="1" showInputMessage="1" showErrorMessage="1" sqref="C38" xr:uid="{24B953F4-90A5-41B9-BDF3-1D080A1493B0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3D29-A4F9-4FDA-ABCB-077D36B0EE7F}">
  <dimension ref="A2:H20"/>
  <sheetViews>
    <sheetView workbookViewId="0">
      <selection activeCell="D9" sqref="D9"/>
    </sheetView>
  </sheetViews>
  <sheetFormatPr defaultRowHeight="15" x14ac:dyDescent="0.25"/>
  <cols>
    <col min="1" max="1" width="33" bestFit="1" customWidth="1"/>
    <col min="2" max="2" width="14.42578125" bestFit="1" customWidth="1"/>
    <col min="3" max="3" width="20.85546875" bestFit="1" customWidth="1"/>
    <col min="4" max="4" width="9.140625" style="29"/>
    <col min="7" max="7" width="18.28515625" bestFit="1" customWidth="1"/>
    <col min="8" max="8" width="10.42578125" style="32" customWidth="1"/>
  </cols>
  <sheetData>
    <row r="2" spans="1:8" x14ac:dyDescent="0.25">
      <c r="A2" t="s">
        <v>31</v>
      </c>
      <c r="B2" s="4" t="s">
        <v>20</v>
      </c>
      <c r="C2" s="4" t="s">
        <v>21</v>
      </c>
      <c r="D2" s="29" t="s">
        <v>30</v>
      </c>
    </row>
    <row r="3" spans="1:8" ht="16.5" x14ac:dyDescent="0.3">
      <c r="A3" t="str">
        <f>B3&amp;"-"&amp;C3</f>
        <v>CONSERVADOR-PAPEL</v>
      </c>
      <c r="B3" t="s">
        <v>17</v>
      </c>
      <c r="C3" s="24" t="s">
        <v>24</v>
      </c>
      <c r="D3" s="29">
        <v>0.3</v>
      </c>
      <c r="H3" s="32" t="s">
        <v>30</v>
      </c>
    </row>
    <row r="4" spans="1:8" ht="16.5" x14ac:dyDescent="0.3">
      <c r="A4" t="str">
        <f t="shared" ref="A4:A20" si="0">B4&amp;"-"&amp;C4</f>
        <v>CONSERVADOR-TIJOLO</v>
      </c>
      <c r="B4" t="s">
        <v>17</v>
      </c>
      <c r="C4" s="24" t="s">
        <v>25</v>
      </c>
      <c r="D4" s="29">
        <v>0.5</v>
      </c>
      <c r="G4" s="21" t="s">
        <v>32</v>
      </c>
      <c r="H4" s="31">
        <f>VLOOKUP($G$4,$A:$D,4,0)</f>
        <v>0.35</v>
      </c>
    </row>
    <row r="5" spans="1:8" ht="16.5" x14ac:dyDescent="0.3">
      <c r="A5" t="str">
        <f t="shared" si="0"/>
        <v>CONSERVADOR-HÍBRIDOS</v>
      </c>
      <c r="B5" t="s">
        <v>17</v>
      </c>
      <c r="C5" s="24" t="s">
        <v>26</v>
      </c>
      <c r="D5" s="29">
        <v>0.1</v>
      </c>
    </row>
    <row r="6" spans="1:8" ht="16.5" x14ac:dyDescent="0.3">
      <c r="A6" t="str">
        <f t="shared" si="0"/>
        <v>CONSERVADOR-FOFs</v>
      </c>
      <c r="B6" t="s">
        <v>17</v>
      </c>
      <c r="C6" s="24" t="s">
        <v>27</v>
      </c>
      <c r="D6" s="29">
        <v>0.1</v>
      </c>
    </row>
    <row r="7" spans="1:8" ht="16.5" x14ac:dyDescent="0.3">
      <c r="A7" t="str">
        <f t="shared" si="0"/>
        <v>CONSERVADOR-DESENVOLVIMENTO</v>
      </c>
      <c r="B7" t="s">
        <v>17</v>
      </c>
      <c r="C7" s="24" t="s">
        <v>28</v>
      </c>
      <c r="D7" s="29">
        <v>0</v>
      </c>
    </row>
    <row r="8" spans="1:8" ht="17.25" thickBot="1" x14ac:dyDescent="0.35">
      <c r="A8" s="27" t="str">
        <f t="shared" si="0"/>
        <v>CONSERVADOR-HOTELARIAS</v>
      </c>
      <c r="B8" s="27" t="s">
        <v>17</v>
      </c>
      <c r="C8" s="28" t="s">
        <v>29</v>
      </c>
      <c r="D8" s="30">
        <v>0</v>
      </c>
    </row>
    <row r="9" spans="1:8" ht="16.5" x14ac:dyDescent="0.3">
      <c r="A9" s="33" t="str">
        <f t="shared" si="0"/>
        <v>MODERADO-PAPEL</v>
      </c>
      <c r="B9" t="s">
        <v>18</v>
      </c>
      <c r="C9" s="24" t="s">
        <v>24</v>
      </c>
      <c r="D9" s="29">
        <v>0.32</v>
      </c>
    </row>
    <row r="10" spans="1:8" ht="16.5" x14ac:dyDescent="0.3">
      <c r="A10" s="3" t="str">
        <f t="shared" si="0"/>
        <v>MODERADO-TIJOLO</v>
      </c>
      <c r="B10" t="s">
        <v>18</v>
      </c>
      <c r="C10" s="24" t="s">
        <v>25</v>
      </c>
      <c r="D10" s="29">
        <v>0.35</v>
      </c>
    </row>
    <row r="11" spans="1:8" ht="16.5" x14ac:dyDescent="0.3">
      <c r="A11" s="3" t="str">
        <f t="shared" si="0"/>
        <v>MODERADO-HÍBRIDOS</v>
      </c>
      <c r="B11" t="s">
        <v>18</v>
      </c>
      <c r="C11" s="24" t="s">
        <v>26</v>
      </c>
      <c r="D11" s="29">
        <v>0.08</v>
      </c>
    </row>
    <row r="12" spans="1:8" ht="16.5" x14ac:dyDescent="0.3">
      <c r="A12" s="3" t="str">
        <f t="shared" si="0"/>
        <v>MODERADO-FOFs</v>
      </c>
      <c r="B12" t="s">
        <v>18</v>
      </c>
      <c r="C12" s="24" t="s">
        <v>27</v>
      </c>
      <c r="D12" s="29">
        <v>0.05</v>
      </c>
    </row>
    <row r="13" spans="1:8" ht="16.5" x14ac:dyDescent="0.3">
      <c r="A13" s="3" t="str">
        <f t="shared" si="0"/>
        <v>MODERADO-DESENVOLVIMENTO</v>
      </c>
      <c r="B13" t="s">
        <v>18</v>
      </c>
      <c r="C13" s="24" t="s">
        <v>28</v>
      </c>
      <c r="D13" s="29">
        <v>0.1</v>
      </c>
    </row>
    <row r="14" spans="1:8" ht="17.25" thickBot="1" x14ac:dyDescent="0.35">
      <c r="A14" s="27" t="str">
        <f t="shared" si="0"/>
        <v>MODERADO-HOTELARIAS</v>
      </c>
      <c r="B14" s="27" t="s">
        <v>18</v>
      </c>
      <c r="C14" s="28" t="s">
        <v>29</v>
      </c>
      <c r="D14" s="30">
        <v>0.1</v>
      </c>
    </row>
    <row r="15" spans="1:8" ht="16.5" x14ac:dyDescent="0.3">
      <c r="A15" t="str">
        <f t="shared" si="0"/>
        <v>AGRESSIVO-PAPEL</v>
      </c>
      <c r="B15" t="s">
        <v>16</v>
      </c>
      <c r="C15" s="24" t="s">
        <v>24</v>
      </c>
      <c r="D15" s="29">
        <v>0.5</v>
      </c>
    </row>
    <row r="16" spans="1:8" ht="16.5" x14ac:dyDescent="0.3">
      <c r="A16" t="str">
        <f t="shared" si="0"/>
        <v>AGRESSIVO-TIJOLO</v>
      </c>
      <c r="B16" t="s">
        <v>16</v>
      </c>
      <c r="C16" s="24" t="s">
        <v>25</v>
      </c>
      <c r="D16" s="29">
        <v>0.1</v>
      </c>
    </row>
    <row r="17" spans="1:4" ht="16.5" x14ac:dyDescent="0.3">
      <c r="A17" t="str">
        <f t="shared" si="0"/>
        <v>AGRESSIVO-HÍBRIDOS</v>
      </c>
      <c r="B17" t="s">
        <v>16</v>
      </c>
      <c r="C17" s="24" t="s">
        <v>26</v>
      </c>
      <c r="D17" s="29">
        <v>0.05</v>
      </c>
    </row>
    <row r="18" spans="1:4" ht="16.5" x14ac:dyDescent="0.3">
      <c r="A18" t="str">
        <f t="shared" si="0"/>
        <v>AGRESSIVO-FOFs</v>
      </c>
      <c r="B18" t="s">
        <v>16</v>
      </c>
      <c r="C18" s="24" t="s">
        <v>27</v>
      </c>
      <c r="D18" s="29">
        <v>0.05</v>
      </c>
    </row>
    <row r="19" spans="1:4" ht="16.5" x14ac:dyDescent="0.3">
      <c r="A19" t="str">
        <f t="shared" si="0"/>
        <v>AGRESSIVO-DESENVOLVIMENTO</v>
      </c>
      <c r="B19" t="s">
        <v>16</v>
      </c>
      <c r="C19" s="24" t="s">
        <v>28</v>
      </c>
      <c r="D19" s="29">
        <v>0.2</v>
      </c>
    </row>
    <row r="20" spans="1:4" ht="16.5" x14ac:dyDescent="0.3">
      <c r="A20" t="str">
        <f t="shared" si="0"/>
        <v>AGRESSIVO-HOTELARIAS</v>
      </c>
      <c r="B20" t="s">
        <v>16</v>
      </c>
      <c r="C20" s="24" t="s">
        <v>29</v>
      </c>
      <c r="D20" s="2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Ferramenta</vt:lpstr>
      <vt:lpstr>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  <vt:lpstr>total_investido_bolso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arnaldo silva</dc:creator>
  <cp:lastModifiedBy>arnaldo silva</cp:lastModifiedBy>
  <dcterms:created xsi:type="dcterms:W3CDTF">2026-08-31T11:17:23Z</dcterms:created>
  <dcterms:modified xsi:type="dcterms:W3CDTF">2026-08-31T20:37:46Z</dcterms:modified>
</cp:coreProperties>
</file>